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Учёба\3 КУРС\1 семестр\Нейронные сети\"/>
    </mc:Choice>
  </mc:AlternateContent>
  <xr:revisionPtr revIDLastSave="0" documentId="13_ncr:1_{9D1AD53B-8D3E-489B-BA5F-F154884FC8EC}" xr6:coauthVersionLast="45" xr6:coauthVersionMax="45" xr10:uidLastSave="{00000000-0000-0000-0000-000000000000}"/>
  <bookViews>
    <workbookView xWindow="-108" yWindow="-108" windowWidth="23256" windowHeight="12576" activeTab="2" xr2:uid="{E29971B2-5641-4B8E-B708-37221FC921BB}"/>
  </bookViews>
  <sheets>
    <sheet name="ЛР_1_Перебор" sheetId="1" r:id="rId1"/>
    <sheet name="ЛР_2_Советчик" sheetId="2" r:id="rId2"/>
    <sheet name="ЛР_3_4_XOR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6" i="3" l="1"/>
  <c r="G6" i="3"/>
  <c r="G13" i="3"/>
  <c r="F7" i="3"/>
  <c r="I6" i="3"/>
  <c r="H6" i="3"/>
  <c r="G7" i="3" l="1"/>
  <c r="F8" i="3"/>
  <c r="G8" i="3"/>
  <c r="F9" i="3"/>
  <c r="G9" i="3"/>
  <c r="F10" i="3"/>
  <c r="G10" i="3"/>
  <c r="F11" i="3"/>
  <c r="G11" i="3"/>
  <c r="F12" i="3"/>
  <c r="G12" i="3"/>
  <c r="F13" i="3"/>
  <c r="F6" i="2"/>
  <c r="I10" i="3"/>
  <c r="I8" i="3"/>
  <c r="I12" i="3"/>
  <c r="I7" i="3"/>
  <c r="I9" i="3"/>
  <c r="I13" i="3"/>
  <c r="I11" i="3"/>
  <c r="H10" i="3"/>
  <c r="H7" i="3"/>
  <c r="H12" i="3"/>
  <c r="H11" i="3"/>
  <c r="H13" i="3"/>
  <c r="H9" i="3"/>
  <c r="H8" i="3"/>
  <c r="G6" i="2" l="1"/>
  <c r="H6" i="2" s="1"/>
  <c r="F7" i="2"/>
  <c r="G7" i="2" s="1"/>
  <c r="H7" i="2" s="1"/>
  <c r="F8" i="2"/>
  <c r="G8" i="2" s="1"/>
  <c r="H8" i="2" s="1"/>
  <c r="F9" i="2"/>
  <c r="G9" i="2" s="1"/>
  <c r="H9" i="2" s="1"/>
  <c r="F10" i="2"/>
  <c r="G10" i="2" s="1"/>
  <c r="H10" i="2" s="1"/>
  <c r="F11" i="2"/>
  <c r="G11" i="2" s="1"/>
  <c r="H11" i="2" s="1"/>
  <c r="F12" i="2"/>
  <c r="G12" i="2" s="1"/>
  <c r="H12" i="2" s="1"/>
  <c r="F13" i="2"/>
  <c r="E8" i="1"/>
  <c r="E6" i="1"/>
  <c r="E7" i="1"/>
  <c r="E5" i="1"/>
  <c r="F5" i="1" s="1"/>
  <c r="G5" i="1" s="1"/>
  <c r="G13" i="2" l="1"/>
  <c r="H13" i="2" s="1"/>
  <c r="F6" i="1"/>
  <c r="G6" i="1" s="1"/>
  <c r="H6" i="1" s="1"/>
  <c r="F7" i="1"/>
  <c r="G7" i="1" s="1"/>
  <c r="H7" i="1" s="1"/>
  <c r="F8" i="1"/>
  <c r="G8" i="1" s="1"/>
  <c r="H8" i="1" s="1"/>
  <c r="H5" i="1"/>
  <c r="H9" i="1" l="1"/>
</calcChain>
</file>

<file path=xl/sharedStrings.xml><?xml version="1.0" encoding="utf-8"?>
<sst xmlns="http://schemas.openxmlformats.org/spreadsheetml/2006/main" count="59" uniqueCount="35">
  <si>
    <t>w1</t>
  </si>
  <si>
    <t>w2</t>
  </si>
  <si>
    <t>A</t>
  </si>
  <si>
    <t>Y</t>
  </si>
  <si>
    <t>D</t>
  </si>
  <si>
    <t>D^2</t>
  </si>
  <si>
    <t>X1</t>
  </si>
  <si>
    <t>X2</t>
  </si>
  <si>
    <t>S</t>
  </si>
  <si>
    <t>X3</t>
  </si>
  <si>
    <t>w3</t>
  </si>
  <si>
    <t>нач</t>
  </si>
  <si>
    <t>кон</t>
  </si>
  <si>
    <t>Эпоха</t>
  </si>
  <si>
    <t>Сумма квадрата ошибки</t>
  </si>
  <si>
    <t>№</t>
  </si>
  <si>
    <t>X4</t>
  </si>
  <si>
    <t>X5</t>
  </si>
  <si>
    <t>Y4</t>
  </si>
  <si>
    <t>Y5</t>
  </si>
  <si>
    <t>X6</t>
  </si>
  <si>
    <t>Y6</t>
  </si>
  <si>
    <t>E6</t>
  </si>
  <si>
    <t>w14</t>
  </si>
  <si>
    <t>w15</t>
  </si>
  <si>
    <t>w24</t>
  </si>
  <si>
    <t>w25</t>
  </si>
  <si>
    <t>w34</t>
  </si>
  <si>
    <t>w35</t>
  </si>
  <si>
    <t>w46</t>
  </si>
  <si>
    <t>w56</t>
  </si>
  <si>
    <t>Ошибка</t>
  </si>
  <si>
    <t>Эпохи</t>
  </si>
  <si>
    <t>Время (c)</t>
  </si>
  <si>
    <t>xor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</si>
</sst>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8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1" xfId="0" applyBorder="1"/>
    <xf numFmtId="0" fontId="0" fillId="2" borderId="0" xfId="0" applyFill="1"/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Fill="1"/>
    <xf numFmtId="0" fontId="0" fillId="0" borderId="1" xfId="0" applyFill="1" applyBorder="1"/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right"/>
    </xf>
    <xf numFmtId="0" fontId="0" fillId="0" borderId="1" xfId="0" applyFill="1" applyBorder="1" applyAlignment="1">
      <alignment horizontal="right"/>
    </xf>
    <xf numFmtId="0" fontId="0" fillId="0" borderId="0" xfId="0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ЛР_2_Советчик!$C$20</c:f>
              <c:strCache>
                <c:ptCount val="1"/>
                <c:pt idx="0">
                  <c:v>Сумма квадрата ошибки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ЛР_2_Советчик!$B$21:$B$40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ЛР_2_Советчик!$C$21:$C$40</c:f>
              <c:numCache>
                <c:formatCode>General</c:formatCode>
                <c:ptCount val="20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3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B4-42C2-8230-049150D705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3444368"/>
        <c:axId val="1928284960"/>
      </c:scatterChart>
      <c:valAx>
        <c:axId val="1973444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Эпоха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28284960"/>
        <c:crosses val="autoZero"/>
        <c:crossBetween val="midCat"/>
      </c:valAx>
      <c:valAx>
        <c:axId val="1928284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73444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Ошибка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ЛР_3_4_XOR!$B$20:$B$319</c:f>
              <c:numCache>
                <c:formatCode>General</c:formatCode>
                <c:ptCount val="300"/>
                <c:pt idx="0">
                  <c:v>0.22644856734180399</c:v>
                </c:pt>
                <c:pt idx="1">
                  <c:v>0.22590742938659689</c:v>
                </c:pt>
                <c:pt idx="2">
                  <c:v>0.22535334591253034</c:v>
                </c:pt>
                <c:pt idx="3">
                  <c:v>0.22478602543116624</c:v>
                </c:pt>
                <c:pt idx="4">
                  <c:v>0.22420517080642011</c:v>
                </c:pt>
                <c:pt idx="5">
                  <c:v>0.22361047919230062</c:v>
                </c:pt>
                <c:pt idx="6">
                  <c:v>0.22300164197273203</c:v>
                </c:pt>
                <c:pt idx="7">
                  <c:v>0.22237834470367904</c:v>
                </c:pt>
                <c:pt idx="8">
                  <c:v>0.22174026705780736</c:v>
                </c:pt>
                <c:pt idx="9">
                  <c:v>0.22108708277192923</c:v>
                </c:pt>
                <c:pt idx="10">
                  <c:v>0.22041845959749828</c:v>
                </c:pt>
                <c:pt idx="11">
                  <c:v>0.21973405925443784</c:v>
                </c:pt>
                <c:pt idx="12">
                  <c:v>0.21903353738860165</c:v>
                </c:pt>
                <c:pt idx="13">
                  <c:v>0.21831654353319127</c:v>
                </c:pt>
                <c:pt idx="14">
                  <c:v>0.21758272107447291</c:v>
                </c:pt>
                <c:pt idx="15">
                  <c:v>0.21683170722215961</c:v>
                </c:pt>
                <c:pt idx="16">
                  <c:v>0.21606313298485397</c:v>
                </c:pt>
                <c:pt idx="17">
                  <c:v>0.21527662315096938</c:v>
                </c:pt>
                <c:pt idx="18">
                  <c:v>0.21447179627558238</c:v>
                </c:pt>
                <c:pt idx="19">
                  <c:v>0.21364826467369677</c:v>
                </c:pt>
                <c:pt idx="20">
                  <c:v>0.21280563442044018</c:v>
                </c:pt>
                <c:pt idx="21">
                  <c:v>0.2119435053587477</c:v>
                </c:pt>
                <c:pt idx="22">
                  <c:v>0.21106147111513332</c:v>
                </c:pt>
                <c:pt idx="23">
                  <c:v>0.21015911912419322</c:v>
                </c:pt>
                <c:pt idx="24">
                  <c:v>0.20923603066253521</c:v>
                </c:pt>
                <c:pt idx="25">
                  <c:v>0.20829178089288572</c:v>
                </c:pt>
                <c:pt idx="26">
                  <c:v>0.20732593891918255</c:v>
                </c:pt>
                <c:pt idx="27">
                  <c:v>0.2063380678535309</c:v>
                </c:pt>
                <c:pt idx="28">
                  <c:v>0.20532772489596893</c:v>
                </c:pt>
                <c:pt idx="29">
                  <c:v>0.20429446142807287</c:v>
                </c:pt>
                <c:pt idx="30">
                  <c:v>0.20323782312151348</c:v>
                </c:pt>
                <c:pt idx="31">
                  <c:v>0.20215735006277777</c:v>
                </c:pt>
                <c:pt idx="32">
                  <c:v>0.20105257689537051</c:v>
                </c:pt>
                <c:pt idx="33">
                  <c:v>0.19992303298092895</c:v>
                </c:pt>
                <c:pt idx="34">
                  <c:v>0.19876824258081147</c:v>
                </c:pt>
                <c:pt idx="35">
                  <c:v>0.19758772505986272</c:v>
                </c:pt>
                <c:pt idx="36">
                  <c:v>0.19638099511421203</c:v>
                </c:pt>
                <c:pt idx="37">
                  <c:v>0.1951475630251335</c:v>
                </c:pt>
                <c:pt idx="38">
                  <c:v>0.19388693494118797</c:v>
                </c:pt>
                <c:pt idx="39">
                  <c:v>0.19259861319106872</c:v>
                </c:pt>
                <c:pt idx="40">
                  <c:v>0.19128209662981019</c:v>
                </c:pt>
                <c:pt idx="41">
                  <c:v>0.18993688102126383</c:v>
                </c:pt>
                <c:pt idx="42">
                  <c:v>0.18856245946003053</c:v>
                </c:pt>
                <c:pt idx="43">
                  <c:v>0.18715832283633849</c:v>
                </c:pt>
                <c:pt idx="44">
                  <c:v>0.18572396034769897</c:v>
                </c:pt>
                <c:pt idx="45">
                  <c:v>0.18425886006153583</c:v>
                </c:pt>
                <c:pt idx="46">
                  <c:v>0.18276250953339912</c:v>
                </c:pt>
                <c:pt idx="47">
                  <c:v>0.18123439648581216</c:v>
                </c:pt>
                <c:pt idx="48">
                  <c:v>0.17967400955329613</c:v>
                </c:pt>
                <c:pt idx="49">
                  <c:v>0.17808083909965208</c:v>
                </c:pt>
                <c:pt idx="50">
                  <c:v>0.17645437811416265</c:v>
                </c:pt>
                <c:pt idx="51">
                  <c:v>0.17479412319402121</c:v>
                </c:pt>
                <c:pt idx="52">
                  <c:v>0.17309957562099049</c:v>
                </c:pt>
                <c:pt idx="53">
                  <c:v>0.17137024254105526</c:v>
                </c:pt>
                <c:pt idx="54">
                  <c:v>0.16960563825665401</c:v>
                </c:pt>
                <c:pt idx="55">
                  <c:v>0.16780528564197267</c:v>
                </c:pt>
                <c:pt idx="56">
                  <c:v>0.16596871769274413</c:v>
                </c:pt>
                <c:pt idx="57">
                  <c:v>0.16409547922303611</c:v>
                </c:pt>
                <c:pt idx="58">
                  <c:v>0.16218512872262694</c:v>
                </c:pt>
                <c:pt idx="59">
                  <c:v>0.16023724038975365</c:v>
                </c:pt>
                <c:pt idx="60">
                  <c:v>0.15825140635528792</c:v>
                </c:pt>
                <c:pt idx="61">
                  <c:v>0.15622723911572789</c:v>
                </c:pt>
                <c:pt idx="62">
                  <c:v>0.15416437419380336</c:v>
                </c:pt>
                <c:pt idx="63">
                  <c:v>0.15206247304695666</c:v>
                </c:pt>
                <c:pt idx="64">
                  <c:v>0.14992122624547224</c:v>
                </c:pt>
                <c:pt idx="65">
                  <c:v>0.14774035694357612</c:v>
                </c:pt>
                <c:pt idx="66">
                  <c:v>0.14551962466838142</c:v>
                </c:pt>
                <c:pt idx="67">
                  <c:v>0.1432588294530901</c:v>
                </c:pt>
                <c:pt idx="68">
                  <c:v>0.1409578163423475</c:v>
                </c:pt>
                <c:pt idx="69">
                  <c:v>0.13861648029902152</c:v>
                </c:pt>
                <c:pt idx="70">
                  <c:v>0.13623477154290034</c:v>
                </c:pt>
                <c:pt idx="71">
                  <c:v>0.13381270135279039</c:v>
                </c:pt>
                <c:pt idx="72">
                  <c:v>0.13135034836415896</c:v>
                </c:pt>
                <c:pt idx="73">
                  <c:v>0.12884786539470747</c:v>
                </c:pt>
                <c:pt idx="74">
                  <c:v>0.12630548682993722</c:v>
                </c:pt>
                <c:pt idx="75">
                  <c:v>0.12372353659973462</c:v>
                </c:pt>
                <c:pt idx="76">
                  <c:v>0.12110243677507407</c:v>
                </c:pt>
                <c:pt idx="77">
                  <c:v>0.11844271681088668</c:v>
                </c:pt>
                <c:pt idx="78">
                  <c:v>0.11574502345673782</c:v>
                </c:pt>
                <c:pt idx="79">
                  <c:v>0.11301013135088707</c:v>
                </c:pt>
                <c:pt idx="80">
                  <c:v>0.11023895430525538</c:v>
                </c:pt>
                <c:pt idx="81">
                  <c:v>0.10743255727840968</c:v>
                </c:pt>
                <c:pt idx="82">
                  <c:v>0.10459216902048357</c:v>
                </c:pt>
                <c:pt idx="83">
                  <c:v>0.10171919535752577</c:v>
                </c:pt>
                <c:pt idx="84">
                  <c:v>9.8815233062613084E-2</c:v>
                </c:pt>
                <c:pt idx="85">
                  <c:v>9.5882084236663917E-2</c:v>
                </c:pt>
                <c:pt idx="86">
                  <c:v>9.2921771092716959E-2</c:v>
                </c:pt>
                <c:pt idx="87">
                  <c:v>8.9936551002988641E-2</c:v>
                </c:pt>
                <c:pt idx="88">
                  <c:v>8.6928931627818742E-2</c:v>
                </c:pt>
                <c:pt idx="89">
                  <c:v>8.390168589929678E-2</c:v>
                </c:pt>
                <c:pt idx="90">
                  <c:v>8.0857866579686397E-2</c:v>
                </c:pt>
                <c:pt idx="91">
                  <c:v>7.7800820055746553E-2</c:v>
                </c:pt>
                <c:pt idx="92">
                  <c:v>7.4734198964973533E-2</c:v>
                </c:pt>
                <c:pt idx="93">
                  <c:v>7.1661973179396182E-2</c:v>
                </c:pt>
                <c:pt idx="94">
                  <c:v>6.8588438598109591E-2</c:v>
                </c:pt>
                <c:pt idx="95">
                  <c:v>6.5518223123196384E-2</c:v>
                </c:pt>
                <c:pt idx="96">
                  <c:v>6.2456289117850831E-2</c:v>
                </c:pt>
                <c:pt idx="97">
                  <c:v>5.9407931574187084E-2</c:v>
                </c:pt>
                <c:pt idx="98">
                  <c:v>5.6378771156293569E-2</c:v>
                </c:pt>
                <c:pt idx="99">
                  <c:v>5.3374741237743564E-2</c:v>
                </c:pt>
                <c:pt idx="100">
                  <c:v>5.040206802941645E-2</c:v>
                </c:pt>
                <c:pt idx="101">
                  <c:v>4.7467242901748655E-2</c:v>
                </c:pt>
                <c:pt idx="102">
                  <c:v>4.457698605506534E-2</c:v>
                </c:pt>
                <c:pt idx="103">
                  <c:v>4.1738200792689487E-2</c:v>
                </c:pt>
                <c:pt idx="104">
                  <c:v>3.8957917814314721E-2</c:v>
                </c:pt>
                <c:pt idx="105">
                  <c:v>3.6243229180972648E-2</c:v>
                </c:pt>
                <c:pt idx="106">
                  <c:v>3.360121191499528E-2</c:v>
                </c:pt>
                <c:pt idx="107">
                  <c:v>3.1038841592244133E-2</c:v>
                </c:pt>
                <c:pt idx="108">
                  <c:v>2.856289675779709E-2</c:v>
                </c:pt>
                <c:pt idx="109">
                  <c:v>2.6179855541400857E-2</c:v>
                </c:pt>
                <c:pt idx="110">
                  <c:v>2.3895786447684596E-2</c:v>
                </c:pt>
                <c:pt idx="111">
                  <c:v>2.1716235920694486E-2</c:v>
                </c:pt>
                <c:pt idx="112">
                  <c:v>1.9646115894528447E-2</c:v>
                </c:pt>
                <c:pt idx="113">
                  <c:v>1.7689595093563378E-2</c:v>
                </c:pt>
                <c:pt idx="114">
                  <c:v>1.5849998281114296E-2</c:v>
                </c:pt>
                <c:pt idx="115">
                  <c:v>1.4129717914653558E-2</c:v>
                </c:pt>
                <c:pt idx="116">
                  <c:v>1.2530142691238946E-2</c:v>
                </c:pt>
                <c:pt idx="117">
                  <c:v>1.1051607210045894E-2</c:v>
                </c:pt>
                <c:pt idx="118">
                  <c:v>9.69336640871667E-3</c:v>
                </c:pt>
                <c:pt idx="119">
                  <c:v>8.4535975407079127E-3</c:v>
                </c:pt>
                <c:pt idx="120">
                  <c:v>7.3294312775444535E-3</c:v>
                </c:pt>
                <c:pt idx="121">
                  <c:v>6.3170121031812408E-3</c:v>
                </c:pt>
                <c:pt idx="122">
                  <c:v>5.4115866113118149E-3</c:v>
                </c:pt>
                <c:pt idx="123">
                  <c:v>4.6076167412348748E-3</c:v>
                </c:pt>
                <c:pt idx="124">
                  <c:v>3.8989135300445993E-3</c:v>
                </c:pt>
                <c:pt idx="125">
                  <c:v>3.27878575455373E-3</c:v>
                </c:pt>
                <c:pt idx="126">
                  <c:v>2.7401970039813315E-3</c:v>
                </c:pt>
                <c:pt idx="127">
                  <c:v>2.2759243483617122E-3</c:v>
                </c:pt>
                <c:pt idx="128">
                  <c:v>1.8787118853763266E-3</c:v>
                </c:pt>
                <c:pt idx="129">
                  <c:v>1.5414130443819709E-3</c:v>
                </c:pt>
                <c:pt idx="130">
                  <c:v>1.2571165338966437E-3</c:v>
                </c:pt>
                <c:pt idx="131">
                  <c:v>1.0192521286953222E-3</c:v>
                </c:pt>
                <c:pt idx="132">
                  <c:v>8.2167396924564542E-4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CC-4751-BE0F-DF09D4390202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ЛР_3_4_XOR!$C$20:$C$319</c:f>
              <c:numCache>
                <c:formatCode>General</c:formatCode>
                <c:ptCount val="30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ED-41EE-90B2-17CB9CC18D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86141360"/>
        <c:axId val="1981530544"/>
      </c:lineChart>
      <c:catAx>
        <c:axId val="198614136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81530544"/>
        <c:crosses val="autoZero"/>
        <c:auto val="1"/>
        <c:lblAlgn val="ctr"/>
        <c:lblOffset val="100"/>
        <c:noMultiLvlLbl val="0"/>
      </c:catAx>
      <c:valAx>
        <c:axId val="1981530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86141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342900</xdr:colOff>
          <xdr:row>9</xdr:row>
          <xdr:rowOff>160020</xdr:rowOff>
        </xdr:from>
        <xdr:to>
          <xdr:col>6</xdr:col>
          <xdr:colOff>594360</xdr:colOff>
          <xdr:row>11</xdr:row>
          <xdr:rowOff>15240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Рассчитать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228600</xdr:colOff>
          <xdr:row>9</xdr:row>
          <xdr:rowOff>167640</xdr:rowOff>
        </xdr:from>
        <xdr:to>
          <xdr:col>8</xdr:col>
          <xdr:colOff>548640</xdr:colOff>
          <xdr:row>11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327660</xdr:colOff>
          <xdr:row>13</xdr:row>
          <xdr:rowOff>160020</xdr:rowOff>
        </xdr:from>
        <xdr:to>
          <xdr:col>6</xdr:col>
          <xdr:colOff>601980</xdr:colOff>
          <xdr:row>16</xdr:row>
          <xdr:rowOff>121920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и заполнить случайно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266700</xdr:colOff>
          <xdr:row>14</xdr:row>
          <xdr:rowOff>53340</xdr:rowOff>
        </xdr:from>
        <xdr:to>
          <xdr:col>12</xdr:col>
          <xdr:colOff>15240</xdr:colOff>
          <xdr:row>16</xdr:row>
          <xdr:rowOff>60960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Направленный поиск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312420</xdr:colOff>
      <xdr:row>21</xdr:row>
      <xdr:rowOff>72390</xdr:rowOff>
    </xdr:from>
    <xdr:to>
      <xdr:col>12</xdr:col>
      <xdr:colOff>274320</xdr:colOff>
      <xdr:row>36</xdr:row>
      <xdr:rowOff>72390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563880</xdr:colOff>
      <xdr:row>14</xdr:row>
      <xdr:rowOff>80010</xdr:rowOff>
    </xdr:from>
    <xdr:to>
      <xdr:col>14</xdr:col>
      <xdr:colOff>304800</xdr:colOff>
      <xdr:row>29</xdr:row>
      <xdr:rowOff>114300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F1D56-F651-4D68-9354-6F81E7DAE5AC}">
  <sheetPr codeName="Лист1"/>
  <dimension ref="B1:T17"/>
  <sheetViews>
    <sheetView workbookViewId="0">
      <selection activeCell="I23" sqref="I23"/>
    </sheetView>
  </sheetViews>
  <sheetFormatPr defaultRowHeight="14.4" x14ac:dyDescent="0.3"/>
  <sheetData>
    <row r="1" spans="2:13" x14ac:dyDescent="0.3">
      <c r="B1" s="1" t="s">
        <v>0</v>
      </c>
      <c r="C1" s="1" t="s">
        <v>1</v>
      </c>
    </row>
    <row r="2" spans="2:13" x14ac:dyDescent="0.3">
      <c r="B2" s="1"/>
      <c r="C2" s="1"/>
    </row>
    <row r="4" spans="2:13" x14ac:dyDescent="0.3">
      <c r="B4" s="1" t="s">
        <v>6</v>
      </c>
      <c r="C4" s="1" t="s">
        <v>7</v>
      </c>
      <c r="D4" s="1" t="s">
        <v>2</v>
      </c>
      <c r="E4" t="s">
        <v>8</v>
      </c>
      <c r="F4" t="s">
        <v>3</v>
      </c>
      <c r="G4" t="s">
        <v>4</v>
      </c>
      <c r="H4" t="s">
        <v>5</v>
      </c>
      <c r="J4" t="s">
        <v>8</v>
      </c>
      <c r="K4" t="s">
        <v>3</v>
      </c>
      <c r="L4" t="s">
        <v>4</v>
      </c>
      <c r="M4" t="s">
        <v>5</v>
      </c>
    </row>
    <row r="5" spans="2:13" x14ac:dyDescent="0.3">
      <c r="B5" s="3">
        <v>0</v>
      </c>
      <c r="C5" s="3">
        <v>0</v>
      </c>
      <c r="D5" s="1">
        <v>0</v>
      </c>
      <c r="E5">
        <f>SUMPRODUCT(B5:C5,$B$2:$C$2)</f>
        <v>0</v>
      </c>
      <c r="F5">
        <f>IF(E5&gt;=0.9,1,0)</f>
        <v>0</v>
      </c>
      <c r="G5">
        <f>D5-F5</f>
        <v>0</v>
      </c>
      <c r="H5">
        <f>G5^2</f>
        <v>0</v>
      </c>
      <c r="J5">
        <v>0</v>
      </c>
      <c r="K5">
        <v>0</v>
      </c>
      <c r="L5">
        <v>0</v>
      </c>
      <c r="M5">
        <v>0</v>
      </c>
    </row>
    <row r="6" spans="2:13" x14ac:dyDescent="0.3">
      <c r="B6" s="3">
        <v>0</v>
      </c>
      <c r="C6" s="3">
        <v>1</v>
      </c>
      <c r="D6" s="1">
        <v>0</v>
      </c>
      <c r="E6">
        <f t="shared" ref="E6:E7" si="0">SUMPRODUCT(B6:C6,$B$2:$C$2)</f>
        <v>0</v>
      </c>
      <c r="F6">
        <f t="shared" ref="F6:F8" si="1">IF(E6&gt;=0.9,1,0)</f>
        <v>0</v>
      </c>
      <c r="G6">
        <f t="shared" ref="G6:G8" si="2">D6-F6</f>
        <v>0</v>
      </c>
      <c r="H6">
        <f t="shared" ref="H6:H8" si="3">G6^2</f>
        <v>0</v>
      </c>
      <c r="J6">
        <v>0.96000000000000085</v>
      </c>
      <c r="K6">
        <v>1</v>
      </c>
      <c r="L6">
        <v>-1</v>
      </c>
      <c r="M6">
        <v>1</v>
      </c>
    </row>
    <row r="7" spans="2:13" x14ac:dyDescent="0.3">
      <c r="B7" s="3">
        <v>1</v>
      </c>
      <c r="C7" s="3">
        <v>0</v>
      </c>
      <c r="D7" s="1">
        <v>0</v>
      </c>
      <c r="E7">
        <f t="shared" si="0"/>
        <v>0</v>
      </c>
      <c r="F7">
        <f t="shared" si="1"/>
        <v>0</v>
      </c>
      <c r="G7">
        <f t="shared" si="2"/>
        <v>0</v>
      </c>
      <c r="H7">
        <f t="shared" si="3"/>
        <v>0</v>
      </c>
      <c r="J7">
        <v>0.96000000000000085</v>
      </c>
      <c r="K7">
        <v>1</v>
      </c>
      <c r="L7">
        <v>-1</v>
      </c>
      <c r="M7">
        <v>1</v>
      </c>
    </row>
    <row r="8" spans="2:13" x14ac:dyDescent="0.3">
      <c r="B8" s="3">
        <v>1</v>
      </c>
      <c r="C8" s="3">
        <v>1</v>
      </c>
      <c r="D8" s="1">
        <v>1</v>
      </c>
      <c r="E8">
        <f>SUMPRODUCT(B8:C8,$B$2:$C$2)</f>
        <v>0</v>
      </c>
      <c r="F8">
        <f t="shared" si="1"/>
        <v>0</v>
      </c>
      <c r="G8">
        <f t="shared" si="2"/>
        <v>1</v>
      </c>
      <c r="H8">
        <f t="shared" si="3"/>
        <v>1</v>
      </c>
      <c r="J8">
        <v>1.9200000000000017</v>
      </c>
      <c r="K8">
        <v>1</v>
      </c>
      <c r="L8">
        <v>0</v>
      </c>
      <c r="M8">
        <v>0</v>
      </c>
    </row>
    <row r="9" spans="2:13" x14ac:dyDescent="0.3">
      <c r="H9" s="2">
        <f>SUM(H5:H8)</f>
        <v>1</v>
      </c>
    </row>
    <row r="17" spans="5:20" x14ac:dyDescent="0.3">
      <c r="E17">
        <v>5</v>
      </c>
      <c r="F17">
        <v>6</v>
      </c>
      <c r="G17">
        <v>7</v>
      </c>
      <c r="H17">
        <v>8</v>
      </c>
      <c r="I17">
        <v>9</v>
      </c>
      <c r="J17">
        <v>10</v>
      </c>
      <c r="K17">
        <v>11</v>
      </c>
      <c r="L17">
        <v>12</v>
      </c>
      <c r="M17">
        <v>13</v>
      </c>
      <c r="N17">
        <v>14</v>
      </c>
      <c r="O17">
        <v>15</v>
      </c>
      <c r="P17">
        <v>16</v>
      </c>
      <c r="Q17">
        <v>17</v>
      </c>
      <c r="R17">
        <v>18</v>
      </c>
      <c r="S17">
        <v>19</v>
      </c>
      <c r="T17">
        <v>20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Лист1.Рассчитать">
                <anchor moveWithCells="1" sizeWithCells="1">
                  <from>
                    <xdr:col>5</xdr:col>
                    <xdr:colOff>342900</xdr:colOff>
                    <xdr:row>9</xdr:row>
                    <xdr:rowOff>160020</xdr:rowOff>
                  </from>
                  <to>
                    <xdr:col>6</xdr:col>
                    <xdr:colOff>594360</xdr:colOff>
                    <xdr:row>11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Лист1.Очистить">
                <anchor moveWithCells="1" sizeWithCells="1">
                  <from>
                    <xdr:col>7</xdr:col>
                    <xdr:colOff>228600</xdr:colOff>
                    <xdr:row>9</xdr:row>
                    <xdr:rowOff>167640</xdr:rowOff>
                  </from>
                  <to>
                    <xdr:col>8</xdr:col>
                    <xdr:colOff>548640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CA9E9-A55C-44F9-8278-9C89374B59FF}">
  <sheetPr codeName="Лист2"/>
  <dimension ref="A1:U40"/>
  <sheetViews>
    <sheetView topLeftCell="A4" workbookViewId="0">
      <selection activeCell="P26" sqref="P26"/>
    </sheetView>
  </sheetViews>
  <sheetFormatPr defaultRowHeight="14.4" x14ac:dyDescent="0.3"/>
  <cols>
    <col min="3" max="3" width="14.5546875" customWidth="1"/>
    <col min="10" max="10" width="13.88671875" customWidth="1"/>
  </cols>
  <sheetData>
    <row r="1" spans="1:13" x14ac:dyDescent="0.3">
      <c r="B1" s="1" t="s">
        <v>0</v>
      </c>
      <c r="C1" s="1" t="s">
        <v>1</v>
      </c>
      <c r="D1" s="1" t="s">
        <v>10</v>
      </c>
    </row>
    <row r="2" spans="1:13" x14ac:dyDescent="0.3">
      <c r="A2" t="s">
        <v>11</v>
      </c>
      <c r="B2" s="1">
        <v>2.4539339542388919E-2</v>
      </c>
      <c r="C2" s="1">
        <v>2.9564237594604494E-2</v>
      </c>
      <c r="D2" s="1">
        <v>-4.7241413593292238E-2</v>
      </c>
    </row>
    <row r="3" spans="1:13" x14ac:dyDescent="0.3">
      <c r="A3" t="s">
        <v>12</v>
      </c>
      <c r="B3" s="1">
        <v>0.91787788415142624</v>
      </c>
      <c r="C3" s="1">
        <v>0.91390983195989406</v>
      </c>
      <c r="D3" s="1">
        <v>-2.4347162613586496E-4</v>
      </c>
    </row>
    <row r="5" spans="1:13" x14ac:dyDescent="0.3">
      <c r="B5" s="1" t="s">
        <v>6</v>
      </c>
      <c r="C5" s="1" t="s">
        <v>7</v>
      </c>
      <c r="D5" s="1" t="s">
        <v>9</v>
      </c>
      <c r="E5" s="1" t="s">
        <v>2</v>
      </c>
      <c r="F5" t="s">
        <v>8</v>
      </c>
      <c r="G5" t="s">
        <v>3</v>
      </c>
      <c r="H5" t="s">
        <v>4</v>
      </c>
      <c r="J5" t="s">
        <v>8</v>
      </c>
      <c r="K5" t="s">
        <v>3</v>
      </c>
      <c r="L5" t="s">
        <v>4</v>
      </c>
      <c r="M5" t="s">
        <v>5</v>
      </c>
    </row>
    <row r="6" spans="1:13" x14ac:dyDescent="0.3">
      <c r="A6">
        <v>1</v>
      </c>
      <c r="B6" s="3">
        <v>0</v>
      </c>
      <c r="C6" s="3">
        <v>0</v>
      </c>
      <c r="D6" s="3">
        <v>0</v>
      </c>
      <c r="E6" s="1">
        <v>0</v>
      </c>
      <c r="F6">
        <f>SUMPRODUCT(B6:D6,$B$2:$D$2)</f>
        <v>0</v>
      </c>
      <c r="G6">
        <f>IF(F6&gt;0.9,1,0)</f>
        <v>0</v>
      </c>
      <c r="H6">
        <f>E6-G6</f>
        <v>0</v>
      </c>
      <c r="J6">
        <v>0</v>
      </c>
      <c r="K6">
        <v>0</v>
      </c>
      <c r="L6">
        <v>0</v>
      </c>
      <c r="M6">
        <v>0</v>
      </c>
    </row>
    <row r="7" spans="1:13" x14ac:dyDescent="0.3">
      <c r="A7">
        <v>2</v>
      </c>
      <c r="B7" s="3">
        <v>0</v>
      </c>
      <c r="C7" s="3">
        <v>0</v>
      </c>
      <c r="D7" s="3">
        <v>1</v>
      </c>
      <c r="E7" s="1">
        <v>1</v>
      </c>
      <c r="F7">
        <f t="shared" ref="F7:F13" si="0">SUMPRODUCT(B7:D7,$B$2:$D$2)</f>
        <v>-4.7241413593292238E-2</v>
      </c>
      <c r="G7">
        <f>IF(F7&gt;0.9,1,0)</f>
        <v>0</v>
      </c>
      <c r="H7">
        <f>E7-G7</f>
        <v>1</v>
      </c>
      <c r="J7">
        <v>-2.7052402903984997E-4</v>
      </c>
      <c r="K7">
        <v>0</v>
      </c>
      <c r="L7">
        <v>1</v>
      </c>
      <c r="M7">
        <v>1</v>
      </c>
    </row>
    <row r="8" spans="1:13" x14ac:dyDescent="0.3">
      <c r="A8">
        <v>3</v>
      </c>
      <c r="B8" s="3">
        <v>0</v>
      </c>
      <c r="C8" s="3">
        <v>1</v>
      </c>
      <c r="D8" s="3">
        <v>0</v>
      </c>
      <c r="E8" s="1">
        <v>1</v>
      </c>
      <c r="F8">
        <f t="shared" si="0"/>
        <v>2.9564237594604494E-2</v>
      </c>
      <c r="G8">
        <f t="shared" ref="G8:G12" si="1">IF(F8&gt;0.9,1,0)</f>
        <v>0</v>
      </c>
      <c r="H8">
        <f t="shared" ref="H8:H12" si="2">E8-G8</f>
        <v>1</v>
      </c>
      <c r="J8">
        <v>0.91390983195989406</v>
      </c>
      <c r="K8">
        <v>1</v>
      </c>
      <c r="L8">
        <v>0</v>
      </c>
      <c r="M8">
        <v>0</v>
      </c>
    </row>
    <row r="9" spans="1:13" x14ac:dyDescent="0.3">
      <c r="A9">
        <v>4</v>
      </c>
      <c r="B9" s="3">
        <v>0</v>
      </c>
      <c r="C9" s="3">
        <v>1</v>
      </c>
      <c r="D9" s="3">
        <v>1</v>
      </c>
      <c r="E9" s="1">
        <v>1</v>
      </c>
      <c r="F9">
        <f t="shared" si="0"/>
        <v>-1.7677175998687743E-2</v>
      </c>
      <c r="G9">
        <f t="shared" si="1"/>
        <v>0</v>
      </c>
      <c r="H9">
        <f t="shared" si="2"/>
        <v>1</v>
      </c>
      <c r="J9">
        <v>0.91366636033375814</v>
      </c>
      <c r="K9">
        <v>1</v>
      </c>
      <c r="L9">
        <v>0</v>
      </c>
      <c r="M9">
        <v>0</v>
      </c>
    </row>
    <row r="10" spans="1:13" x14ac:dyDescent="0.3">
      <c r="A10">
        <v>5</v>
      </c>
      <c r="B10" s="4">
        <v>1</v>
      </c>
      <c r="C10" s="4">
        <v>0</v>
      </c>
      <c r="D10" s="3">
        <v>0</v>
      </c>
      <c r="E10" s="1">
        <v>1</v>
      </c>
      <c r="F10">
        <f t="shared" si="0"/>
        <v>2.4539339542388919E-2</v>
      </c>
      <c r="G10">
        <f t="shared" si="1"/>
        <v>0</v>
      </c>
      <c r="H10">
        <f t="shared" si="2"/>
        <v>1</v>
      </c>
      <c r="J10">
        <v>0.91787788415142624</v>
      </c>
      <c r="K10">
        <v>1</v>
      </c>
      <c r="L10">
        <v>0</v>
      </c>
      <c r="M10">
        <v>0</v>
      </c>
    </row>
    <row r="11" spans="1:13" x14ac:dyDescent="0.3">
      <c r="A11">
        <v>6</v>
      </c>
      <c r="B11" s="4">
        <v>1</v>
      </c>
      <c r="C11" s="4">
        <v>0</v>
      </c>
      <c r="D11" s="3">
        <v>1</v>
      </c>
      <c r="E11" s="1">
        <v>1</v>
      </c>
      <c r="F11">
        <f t="shared" si="0"/>
        <v>-2.2702074050903319E-2</v>
      </c>
      <c r="G11">
        <f t="shared" si="1"/>
        <v>0</v>
      </c>
      <c r="H11">
        <f t="shared" si="2"/>
        <v>1</v>
      </c>
      <c r="J11">
        <v>0.91763441252529032</v>
      </c>
      <c r="K11">
        <v>1</v>
      </c>
      <c r="L11">
        <v>0</v>
      </c>
      <c r="M11">
        <v>0</v>
      </c>
    </row>
    <row r="12" spans="1:13" x14ac:dyDescent="0.3">
      <c r="A12">
        <v>7</v>
      </c>
      <c r="B12" s="4">
        <v>1</v>
      </c>
      <c r="C12" s="4">
        <v>1</v>
      </c>
      <c r="D12" s="3">
        <v>0</v>
      </c>
      <c r="E12" s="1">
        <v>1</v>
      </c>
      <c r="F12">
        <f t="shared" si="0"/>
        <v>5.4103577136993417E-2</v>
      </c>
      <c r="G12">
        <f t="shared" si="1"/>
        <v>0</v>
      </c>
      <c r="H12">
        <f t="shared" si="2"/>
        <v>1</v>
      </c>
      <c r="J12">
        <v>1.8317877161113203</v>
      </c>
      <c r="K12">
        <v>1</v>
      </c>
      <c r="L12">
        <v>0</v>
      </c>
      <c r="M12">
        <v>0</v>
      </c>
    </row>
    <row r="13" spans="1:13" x14ac:dyDescent="0.3">
      <c r="A13">
        <v>8</v>
      </c>
      <c r="B13" s="4">
        <v>1</v>
      </c>
      <c r="C13" s="4">
        <v>1</v>
      </c>
      <c r="D13" s="3">
        <v>1</v>
      </c>
      <c r="E13" s="1">
        <v>1</v>
      </c>
      <c r="F13">
        <f t="shared" si="0"/>
        <v>6.8621635437011788E-3</v>
      </c>
      <c r="G13">
        <f>IF(F13&gt;0.9,1,0)</f>
        <v>0</v>
      </c>
      <c r="H13">
        <f>E13-G13</f>
        <v>1</v>
      </c>
      <c r="J13">
        <v>1.8315442444851844</v>
      </c>
      <c r="K13">
        <v>1</v>
      </c>
      <c r="L13">
        <v>0</v>
      </c>
      <c r="M13">
        <v>0</v>
      </c>
    </row>
    <row r="14" spans="1:13" x14ac:dyDescent="0.3">
      <c r="I14" s="5"/>
    </row>
    <row r="18" spans="1:21" x14ac:dyDescent="0.3">
      <c r="A18">
        <v>1</v>
      </c>
      <c r="B18">
        <v>2</v>
      </c>
      <c r="C18">
        <v>3</v>
      </c>
      <c r="D18">
        <v>4</v>
      </c>
      <c r="E18">
        <v>5</v>
      </c>
      <c r="F18">
        <v>6</v>
      </c>
      <c r="G18">
        <v>7</v>
      </c>
      <c r="H18">
        <v>8</v>
      </c>
      <c r="I18">
        <v>9</v>
      </c>
      <c r="J18">
        <v>10</v>
      </c>
      <c r="K18">
        <v>11</v>
      </c>
      <c r="L18">
        <v>12</v>
      </c>
      <c r="M18">
        <v>13</v>
      </c>
      <c r="N18">
        <v>14</v>
      </c>
      <c r="O18">
        <v>15</v>
      </c>
      <c r="P18">
        <v>16</v>
      </c>
      <c r="Q18">
        <v>17</v>
      </c>
      <c r="R18">
        <v>18</v>
      </c>
      <c r="S18">
        <v>19</v>
      </c>
      <c r="T18">
        <v>20</v>
      </c>
      <c r="U18">
        <v>20</v>
      </c>
    </row>
    <row r="20" spans="1:21" x14ac:dyDescent="0.3">
      <c r="B20" t="s">
        <v>13</v>
      </c>
      <c r="C20" t="s">
        <v>14</v>
      </c>
    </row>
    <row r="21" spans="1:21" x14ac:dyDescent="0.3">
      <c r="B21">
        <v>1</v>
      </c>
      <c r="C21">
        <v>7</v>
      </c>
    </row>
    <row r="22" spans="1:21" x14ac:dyDescent="0.3">
      <c r="B22">
        <v>2</v>
      </c>
      <c r="C22">
        <v>7</v>
      </c>
    </row>
    <row r="23" spans="1:21" x14ac:dyDescent="0.3">
      <c r="B23">
        <v>3</v>
      </c>
      <c r="C23">
        <v>7</v>
      </c>
    </row>
    <row r="24" spans="1:21" x14ac:dyDescent="0.3">
      <c r="B24">
        <v>4</v>
      </c>
      <c r="C24">
        <v>7</v>
      </c>
    </row>
    <row r="25" spans="1:21" x14ac:dyDescent="0.3">
      <c r="B25">
        <v>5</v>
      </c>
      <c r="C25">
        <v>7</v>
      </c>
    </row>
    <row r="26" spans="1:21" x14ac:dyDescent="0.3">
      <c r="B26">
        <v>6</v>
      </c>
      <c r="C26">
        <v>7</v>
      </c>
    </row>
    <row r="27" spans="1:21" x14ac:dyDescent="0.3">
      <c r="B27">
        <v>7</v>
      </c>
      <c r="C27">
        <v>7</v>
      </c>
    </row>
    <row r="28" spans="1:21" x14ac:dyDescent="0.3">
      <c r="B28">
        <v>8</v>
      </c>
      <c r="C28">
        <v>5</v>
      </c>
    </row>
    <row r="29" spans="1:21" x14ac:dyDescent="0.3">
      <c r="B29">
        <v>9</v>
      </c>
      <c r="C29">
        <v>5</v>
      </c>
    </row>
    <row r="30" spans="1:21" x14ac:dyDescent="0.3">
      <c r="B30">
        <v>10</v>
      </c>
      <c r="C30">
        <v>5</v>
      </c>
    </row>
    <row r="31" spans="1:21" x14ac:dyDescent="0.3">
      <c r="B31">
        <v>11</v>
      </c>
      <c r="C31">
        <v>5</v>
      </c>
    </row>
    <row r="32" spans="1:21" x14ac:dyDescent="0.3">
      <c r="B32">
        <v>12</v>
      </c>
      <c r="C32">
        <v>3</v>
      </c>
    </row>
    <row r="33" spans="2:3" x14ac:dyDescent="0.3">
      <c r="B33">
        <v>13</v>
      </c>
      <c r="C33">
        <v>1</v>
      </c>
    </row>
    <row r="34" spans="2:3" x14ac:dyDescent="0.3">
      <c r="B34">
        <v>14</v>
      </c>
      <c r="C34">
        <v>1</v>
      </c>
    </row>
    <row r="35" spans="2:3" x14ac:dyDescent="0.3">
      <c r="B35">
        <v>15</v>
      </c>
      <c r="C35">
        <v>1</v>
      </c>
    </row>
    <row r="36" spans="2:3" x14ac:dyDescent="0.3">
      <c r="B36">
        <v>16</v>
      </c>
      <c r="C36">
        <v>1</v>
      </c>
    </row>
    <row r="37" spans="2:3" x14ac:dyDescent="0.3">
      <c r="B37">
        <v>17</v>
      </c>
      <c r="C37">
        <v>1</v>
      </c>
    </row>
    <row r="38" spans="2:3" x14ac:dyDescent="0.3">
      <c r="B38">
        <v>18</v>
      </c>
      <c r="C38">
        <v>1</v>
      </c>
    </row>
    <row r="39" spans="2:3" x14ac:dyDescent="0.3">
      <c r="B39">
        <v>19</v>
      </c>
      <c r="C39">
        <v>1</v>
      </c>
    </row>
    <row r="40" spans="2:3" x14ac:dyDescent="0.3">
      <c r="B40">
        <v>20</v>
      </c>
      <c r="C40">
        <v>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Лист2.Очистить_И_Заполнить_Щелчок">
                <anchor moveWithCells="1" sizeWithCells="1">
                  <from>
                    <xdr:col>4</xdr:col>
                    <xdr:colOff>327660</xdr:colOff>
                    <xdr:row>13</xdr:row>
                    <xdr:rowOff>160020</xdr:rowOff>
                  </from>
                  <to>
                    <xdr:col>6</xdr:col>
                    <xdr:colOff>601980</xdr:colOff>
                    <xdr:row>16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Лист2.Направленный_Поиск_Щелчок">
                <anchor moveWithCells="1" sizeWithCells="1">
                  <from>
                    <xdr:col>9</xdr:col>
                    <xdr:colOff>266700</xdr:colOff>
                    <xdr:row>14</xdr:row>
                    <xdr:rowOff>53340</xdr:rowOff>
                  </from>
                  <to>
                    <xdr:col>12</xdr:col>
                    <xdr:colOff>15240</xdr:colOff>
                    <xdr:row>16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117E2A-B953-4570-B2D5-1B9085B8A778}">
  <sheetPr codeName="Лист3"/>
  <dimension ref="A1:Y152"/>
  <sheetViews>
    <sheetView tabSelected="1" zoomScaleNormal="100" workbookViewId="0">
      <selection activeCell="L31" sqref="L31"/>
    </sheetView>
  </sheetViews>
  <sheetFormatPr defaultRowHeight="14.4" x14ac:dyDescent="0.3"/>
  <cols>
    <col min="2" max="2" width="13.77734375" customWidth="1"/>
    <col min="3" max="3" width="16.21875" customWidth="1"/>
    <col min="12" max="12" width="15.33203125" customWidth="1"/>
    <col min="14" max="14" width="15.21875" customWidth="1"/>
    <col min="16" max="16" width="18.44140625" customWidth="1"/>
  </cols>
  <sheetData>
    <row r="1" spans="1:25" x14ac:dyDescent="0.3"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  <c r="G1" s="1" t="s">
        <v>28</v>
      </c>
      <c r="H1" s="1" t="s">
        <v>29</v>
      </c>
      <c r="I1" s="1" t="s">
        <v>30</v>
      </c>
      <c r="L1" t="s">
        <v>32</v>
      </c>
      <c r="N1" t="s">
        <v>33</v>
      </c>
      <c r="Y1" t="s">
        <v>34</v>
      </c>
    </row>
    <row r="2" spans="1:25" x14ac:dyDescent="0.3">
      <c r="A2" t="s">
        <v>11</v>
      </c>
      <c r="B2" s="1">
        <v>4.6870011091232303E-2</v>
      </c>
      <c r="C2" s="1">
        <v>2.9816544055938723E-2</v>
      </c>
      <c r="D2" s="1">
        <v>6.2269669771194462E-2</v>
      </c>
      <c r="E2" s="1">
        <v>6.4782118797302252E-2</v>
      </c>
      <c r="F2" s="1">
        <v>2.6379293203353884E-2</v>
      </c>
      <c r="G2" s="1">
        <v>2.7934205532073975E-2</v>
      </c>
      <c r="H2" s="1">
        <v>8.2980161905288702E-2</v>
      </c>
      <c r="I2" s="1">
        <v>8.2460212707519534E-2</v>
      </c>
      <c r="L2">
        <v>133</v>
      </c>
      <c r="N2">
        <v>21.8671875</v>
      </c>
      <c r="Y2" s="9">
        <v>0</v>
      </c>
    </row>
    <row r="3" spans="1:25" x14ac:dyDescent="0.3">
      <c r="A3" t="s">
        <v>12</v>
      </c>
      <c r="B3" s="1">
        <v>0.50538377357715603</v>
      </c>
      <c r="C3" s="1">
        <v>0.48729247327480479</v>
      </c>
      <c r="D3" s="1">
        <v>0.51972641248261975</v>
      </c>
      <c r="E3" s="1">
        <v>0.52092384910581335</v>
      </c>
      <c r="F3" s="1">
        <v>0.47702055427663448</v>
      </c>
      <c r="G3" s="1">
        <v>0.47729780194700788</v>
      </c>
      <c r="H3" s="1">
        <v>2.1595992059147533</v>
      </c>
      <c r="I3" s="1">
        <v>2.1528126460862551</v>
      </c>
      <c r="Y3" s="9">
        <v>1</v>
      </c>
    </row>
    <row r="4" spans="1:25" x14ac:dyDescent="0.3">
      <c r="Y4" s="9">
        <v>1</v>
      </c>
    </row>
    <row r="5" spans="1:25" x14ac:dyDescent="0.3">
      <c r="A5" t="s">
        <v>15</v>
      </c>
      <c r="B5" s="1" t="s">
        <v>6</v>
      </c>
      <c r="C5" s="1" t="s">
        <v>7</v>
      </c>
      <c r="D5" s="1" t="s">
        <v>9</v>
      </c>
      <c r="E5" s="1" t="s">
        <v>2</v>
      </c>
      <c r="F5" s="6" t="s">
        <v>16</v>
      </c>
      <c r="G5" s="6" t="s">
        <v>17</v>
      </c>
      <c r="H5" s="6" t="s">
        <v>18</v>
      </c>
      <c r="I5" s="6" t="s">
        <v>19</v>
      </c>
      <c r="J5" s="6" t="s">
        <v>20</v>
      </c>
      <c r="K5" s="6" t="s">
        <v>21</v>
      </c>
      <c r="L5" s="6" t="s">
        <v>22</v>
      </c>
      <c r="M5" s="11" t="s">
        <v>5</v>
      </c>
      <c r="Y5" s="9">
        <v>0</v>
      </c>
    </row>
    <row r="6" spans="1:25" x14ac:dyDescent="0.3">
      <c r="A6">
        <v>1</v>
      </c>
      <c r="B6" s="9">
        <v>0</v>
      </c>
      <c r="C6" s="9">
        <v>0</v>
      </c>
      <c r="D6" s="9">
        <v>0</v>
      </c>
      <c r="E6" s="9">
        <v>0</v>
      </c>
      <c r="F6" s="9">
        <f>B6*$B$3+C6*$D$3+D6*$F$3</f>
        <v>0</v>
      </c>
      <c r="G6" s="9">
        <f>B6*$C$3+C6*$E$3+D6*$G$3</f>
        <v>0</v>
      </c>
      <c r="H6" s="9">
        <f>F(F6)</f>
        <v>0.5</v>
      </c>
      <c r="I6" s="9">
        <f>F(G6)</f>
        <v>0.5</v>
      </c>
      <c r="J6" s="9">
        <v>2.1083131905310921</v>
      </c>
      <c r="K6" s="9">
        <v>0.89170855507268709</v>
      </c>
      <c r="L6" s="9">
        <v>-0.89170855507268709</v>
      </c>
      <c r="M6">
        <v>0.79514414718981941</v>
      </c>
      <c r="Y6" s="9">
        <v>1</v>
      </c>
    </row>
    <row r="7" spans="1:25" x14ac:dyDescent="0.3">
      <c r="A7">
        <v>2</v>
      </c>
      <c r="B7" s="9">
        <v>0</v>
      </c>
      <c r="C7" s="9">
        <v>0</v>
      </c>
      <c r="D7" s="9">
        <v>1</v>
      </c>
      <c r="E7" s="9">
        <v>1</v>
      </c>
      <c r="F7" s="9">
        <f>B7*$B$3+C7*$D$3+D7*$F$3</f>
        <v>0.47702055427663448</v>
      </c>
      <c r="G7" s="9">
        <f t="shared" ref="G7:G12" si="0">B7*$C$3+C7*$E$3+D7*$G$3</f>
        <v>0.47729780194700788</v>
      </c>
      <c r="H7" s="9">
        <f t="shared" ref="H7:H13" si="1">F(F7)</f>
        <v>0.61704407565984576</v>
      </c>
      <c r="I7" s="9">
        <f t="shared" ref="I7:I13" si="2">F(G7)</f>
        <v>0.61710958734780341</v>
      </c>
      <c r="J7" s="9">
        <v>2.5962033424975921</v>
      </c>
      <c r="K7" s="9">
        <v>0.93061683316664612</v>
      </c>
      <c r="L7" s="9">
        <v>6.9383166833353882E-2</v>
      </c>
      <c r="M7">
        <v>4.8140238398250183E-3</v>
      </c>
      <c r="Y7" s="9">
        <v>0</v>
      </c>
    </row>
    <row r="8" spans="1:25" x14ac:dyDescent="0.3">
      <c r="A8">
        <v>3</v>
      </c>
      <c r="B8" s="9">
        <v>0</v>
      </c>
      <c r="C8" s="9">
        <v>1</v>
      </c>
      <c r="D8" s="9">
        <v>0</v>
      </c>
      <c r="E8" s="9">
        <v>1</v>
      </c>
      <c r="F8" s="9">
        <f t="shared" ref="F8:F13" si="3">B8*$B$3+C8*$D$3+D8*$F$3</f>
        <v>0.51972641248261975</v>
      </c>
      <c r="G8" s="9">
        <f t="shared" si="0"/>
        <v>0.52092384910581335</v>
      </c>
      <c r="H8" s="9">
        <f t="shared" si="1"/>
        <v>0.62708379017627736</v>
      </c>
      <c r="I8" s="9">
        <f t="shared" si="2"/>
        <v>0.62736376774470315</v>
      </c>
      <c r="J8" s="9">
        <v>2.6382069820248768</v>
      </c>
      <c r="K8" s="9">
        <v>0.93328040331592566</v>
      </c>
      <c r="L8" s="9">
        <v>6.6719596684074345E-2</v>
      </c>
      <c r="M8">
        <v>4.4515045816855446E-3</v>
      </c>
      <c r="Y8" s="9">
        <v>0</v>
      </c>
    </row>
    <row r="9" spans="1:25" x14ac:dyDescent="0.3">
      <c r="A9">
        <v>4</v>
      </c>
      <c r="B9" s="9">
        <v>0</v>
      </c>
      <c r="C9" s="9">
        <v>1</v>
      </c>
      <c r="D9" s="9">
        <v>1</v>
      </c>
      <c r="E9" s="9">
        <v>0</v>
      </c>
      <c r="F9" s="9">
        <f t="shared" si="3"/>
        <v>0.99674696675925423</v>
      </c>
      <c r="G9" s="9">
        <f t="shared" si="0"/>
        <v>0.99822165105282123</v>
      </c>
      <c r="H9" s="9">
        <f t="shared" si="1"/>
        <v>0.73041851294031956</v>
      </c>
      <c r="I9" s="9">
        <f t="shared" si="2"/>
        <v>0.73070879036873759</v>
      </c>
      <c r="J9" s="9">
        <v>3.061595120562651</v>
      </c>
      <c r="K9" s="9">
        <v>0.9552804894924759</v>
      </c>
      <c r="L9" s="9">
        <v>-0.9552804894924759</v>
      </c>
      <c r="M9">
        <v>0.91256081360498431</v>
      </c>
      <c r="Y9" s="9">
        <v>1</v>
      </c>
    </row>
    <row r="10" spans="1:25" x14ac:dyDescent="0.3">
      <c r="A10">
        <v>5</v>
      </c>
      <c r="B10" s="10">
        <v>1</v>
      </c>
      <c r="C10" s="10">
        <v>0</v>
      </c>
      <c r="D10" s="9">
        <v>0</v>
      </c>
      <c r="E10" s="9">
        <v>1</v>
      </c>
      <c r="F10" s="9">
        <f t="shared" si="3"/>
        <v>0.50538377357715603</v>
      </c>
      <c r="G10" s="9">
        <f t="shared" si="0"/>
        <v>0.48729247327480479</v>
      </c>
      <c r="H10" s="9">
        <f t="shared" si="1"/>
        <v>0.62372370133338684</v>
      </c>
      <c r="I10" s="9">
        <f t="shared" si="2"/>
        <v>0.61946840114524893</v>
      </c>
      <c r="J10" s="9">
        <v>2.630329723736307</v>
      </c>
      <c r="K10" s="9">
        <v>0.93278822417858376</v>
      </c>
      <c r="L10" s="9">
        <v>6.7211775821416242E-2</v>
      </c>
      <c r="M10">
        <v>4.5174228090683133E-3</v>
      </c>
    </row>
    <row r="11" spans="1:25" x14ac:dyDescent="0.3">
      <c r="A11">
        <v>6</v>
      </c>
      <c r="B11" s="10">
        <v>1</v>
      </c>
      <c r="C11" s="10">
        <v>0</v>
      </c>
      <c r="D11" s="9">
        <v>1</v>
      </c>
      <c r="E11" s="9">
        <v>0</v>
      </c>
      <c r="F11" s="9">
        <f t="shared" si="3"/>
        <v>0.9824043278537905</v>
      </c>
      <c r="G11" s="9">
        <f t="shared" si="0"/>
        <v>0.96459027522181273</v>
      </c>
      <c r="H11" s="9">
        <f t="shared" si="1"/>
        <v>0.72758502695268268</v>
      </c>
      <c r="I11" s="9">
        <f t="shared" si="2"/>
        <v>0.72403991276892721</v>
      </c>
      <c r="J11" s="9">
        <v>3.0675594010473244</v>
      </c>
      <c r="K11" s="9">
        <v>0.95553459087631232</v>
      </c>
      <c r="L11" s="9">
        <v>-0.95553459087631232</v>
      </c>
      <c r="M11">
        <v>0.91304635436116155</v>
      </c>
    </row>
    <row r="12" spans="1:25" x14ac:dyDescent="0.3">
      <c r="A12">
        <v>7</v>
      </c>
      <c r="B12" s="10">
        <v>1</v>
      </c>
      <c r="C12" s="10">
        <v>1</v>
      </c>
      <c r="D12" s="9">
        <v>0</v>
      </c>
      <c r="E12" s="9">
        <v>0</v>
      </c>
      <c r="F12" s="9">
        <f t="shared" si="3"/>
        <v>1.0251101860597758</v>
      </c>
      <c r="G12" s="9">
        <f t="shared" si="0"/>
        <v>1.0082163223806182</v>
      </c>
      <c r="H12" s="9">
        <f t="shared" si="1"/>
        <v>0.73596680580223606</v>
      </c>
      <c r="I12" s="9">
        <f t="shared" si="2"/>
        <v>0.73267093560487295</v>
      </c>
      <c r="J12" s="9">
        <v>3.1319605306213854</v>
      </c>
      <c r="K12" s="9">
        <v>0.95819200256277048</v>
      </c>
      <c r="L12" s="9">
        <v>-0.95819200256277048</v>
      </c>
      <c r="M12">
        <v>0.91813191377525238</v>
      </c>
    </row>
    <row r="13" spans="1:25" x14ac:dyDescent="0.3">
      <c r="A13">
        <v>8</v>
      </c>
      <c r="B13" s="10">
        <v>1</v>
      </c>
      <c r="C13" s="10">
        <v>1</v>
      </c>
      <c r="D13" s="9">
        <v>1</v>
      </c>
      <c r="E13" s="9">
        <v>1</v>
      </c>
      <c r="F13" s="9">
        <f t="shared" si="3"/>
        <v>1.5021307403364101</v>
      </c>
      <c r="G13" s="9">
        <f>B13*$C$3+C13*$E$3+D13*$G$3</f>
        <v>1.4855141243276262</v>
      </c>
      <c r="H13" s="9">
        <f t="shared" si="1"/>
        <v>0.81789205354028582</v>
      </c>
      <c r="I13" s="9">
        <f t="shared" si="2"/>
        <v>0.81540401230477977</v>
      </c>
      <c r="J13" s="9">
        <v>3.5229997195495883</v>
      </c>
      <c r="K13" s="9">
        <v>0.97133514400444954</v>
      </c>
      <c r="L13" s="9">
        <v>2.8664855995550464E-2</v>
      </c>
      <c r="M13">
        <v>8.2167396924564542E-4</v>
      </c>
    </row>
    <row r="16" spans="1:25" x14ac:dyDescent="0.3">
      <c r="A16" s="8">
        <v>1</v>
      </c>
      <c r="B16" s="7">
        <v>2</v>
      </c>
      <c r="C16" s="8">
        <v>3</v>
      </c>
      <c r="D16" s="7">
        <v>4</v>
      </c>
      <c r="E16" s="8">
        <v>5</v>
      </c>
      <c r="F16" s="7">
        <v>6</v>
      </c>
      <c r="G16" s="8">
        <v>7</v>
      </c>
      <c r="H16" s="7">
        <v>8</v>
      </c>
      <c r="I16" s="8">
        <v>9</v>
      </c>
      <c r="J16" s="7">
        <v>10</v>
      </c>
      <c r="K16" s="8">
        <v>11</v>
      </c>
      <c r="L16" s="7">
        <v>12</v>
      </c>
      <c r="M16" s="8">
        <v>13</v>
      </c>
      <c r="N16" s="7">
        <v>14</v>
      </c>
      <c r="O16" s="8"/>
      <c r="P16" s="7"/>
      <c r="Q16" s="8"/>
      <c r="R16" s="7"/>
    </row>
    <row r="19" spans="1:2" x14ac:dyDescent="0.3">
      <c r="A19" t="s">
        <v>13</v>
      </c>
      <c r="B19" t="s">
        <v>31</v>
      </c>
    </row>
    <row r="20" spans="1:2" x14ac:dyDescent="0.3">
      <c r="A20">
        <v>1</v>
      </c>
      <c r="B20">
        <v>0.22644856734180399</v>
      </c>
    </row>
    <row r="21" spans="1:2" x14ac:dyDescent="0.3">
      <c r="A21">
        <v>2</v>
      </c>
      <c r="B21">
        <v>0.22590742938659689</v>
      </c>
    </row>
    <row r="22" spans="1:2" x14ac:dyDescent="0.3">
      <c r="A22">
        <v>3</v>
      </c>
      <c r="B22">
        <v>0.22535334591253034</v>
      </c>
    </row>
    <row r="23" spans="1:2" x14ac:dyDescent="0.3">
      <c r="A23">
        <v>4</v>
      </c>
      <c r="B23">
        <v>0.22478602543116624</v>
      </c>
    </row>
    <row r="24" spans="1:2" x14ac:dyDescent="0.3">
      <c r="A24">
        <v>5</v>
      </c>
      <c r="B24">
        <v>0.22420517080642011</v>
      </c>
    </row>
    <row r="25" spans="1:2" x14ac:dyDescent="0.3">
      <c r="A25">
        <v>6</v>
      </c>
      <c r="B25">
        <v>0.22361047919230062</v>
      </c>
    </row>
    <row r="26" spans="1:2" x14ac:dyDescent="0.3">
      <c r="A26">
        <v>7</v>
      </c>
      <c r="B26">
        <v>0.22300164197273203</v>
      </c>
    </row>
    <row r="27" spans="1:2" x14ac:dyDescent="0.3">
      <c r="A27">
        <v>8</v>
      </c>
      <c r="B27">
        <v>0.22237834470367904</v>
      </c>
    </row>
    <row r="28" spans="1:2" x14ac:dyDescent="0.3">
      <c r="A28">
        <v>9</v>
      </c>
      <c r="B28">
        <v>0.22174026705780736</v>
      </c>
    </row>
    <row r="29" spans="1:2" x14ac:dyDescent="0.3">
      <c r="A29">
        <v>10</v>
      </c>
      <c r="B29">
        <v>0.22108708277192923</v>
      </c>
    </row>
    <row r="30" spans="1:2" x14ac:dyDescent="0.3">
      <c r="A30">
        <v>11</v>
      </c>
      <c r="B30">
        <v>0.22041845959749828</v>
      </c>
    </row>
    <row r="31" spans="1:2" x14ac:dyDescent="0.3">
      <c r="A31">
        <v>12</v>
      </c>
      <c r="B31">
        <v>0.21973405925443784</v>
      </c>
    </row>
    <row r="32" spans="1:2" x14ac:dyDescent="0.3">
      <c r="A32">
        <v>13</v>
      </c>
      <c r="B32">
        <v>0.21903353738860165</v>
      </c>
    </row>
    <row r="33" spans="1:2" x14ac:dyDescent="0.3">
      <c r="A33">
        <v>14</v>
      </c>
      <c r="B33">
        <v>0.21831654353319127</v>
      </c>
    </row>
    <row r="34" spans="1:2" x14ac:dyDescent="0.3">
      <c r="A34">
        <v>15</v>
      </c>
      <c r="B34">
        <v>0.21758272107447291</v>
      </c>
    </row>
    <row r="35" spans="1:2" x14ac:dyDescent="0.3">
      <c r="A35">
        <v>16</v>
      </c>
      <c r="B35">
        <v>0.21683170722215961</v>
      </c>
    </row>
    <row r="36" spans="1:2" x14ac:dyDescent="0.3">
      <c r="A36">
        <v>17</v>
      </c>
      <c r="B36">
        <v>0.21606313298485397</v>
      </c>
    </row>
    <row r="37" spans="1:2" x14ac:dyDescent="0.3">
      <c r="A37">
        <v>18</v>
      </c>
      <c r="B37">
        <v>0.21527662315096938</v>
      </c>
    </row>
    <row r="38" spans="1:2" x14ac:dyDescent="0.3">
      <c r="A38">
        <v>19</v>
      </c>
      <c r="B38">
        <v>0.21447179627558238</v>
      </c>
    </row>
    <row r="39" spans="1:2" x14ac:dyDescent="0.3">
      <c r="A39">
        <v>20</v>
      </c>
      <c r="B39">
        <v>0.21364826467369677</v>
      </c>
    </row>
    <row r="40" spans="1:2" x14ac:dyDescent="0.3">
      <c r="A40">
        <v>21</v>
      </c>
      <c r="B40">
        <v>0.21280563442044018</v>
      </c>
    </row>
    <row r="41" spans="1:2" x14ac:dyDescent="0.3">
      <c r="A41">
        <v>22</v>
      </c>
      <c r="B41">
        <v>0.2119435053587477</v>
      </c>
    </row>
    <row r="42" spans="1:2" x14ac:dyDescent="0.3">
      <c r="A42">
        <v>23</v>
      </c>
      <c r="B42">
        <v>0.21106147111513332</v>
      </c>
    </row>
    <row r="43" spans="1:2" x14ac:dyDescent="0.3">
      <c r="A43">
        <v>24</v>
      </c>
      <c r="B43">
        <v>0.21015911912419322</v>
      </c>
    </row>
    <row r="44" spans="1:2" x14ac:dyDescent="0.3">
      <c r="A44">
        <v>25</v>
      </c>
      <c r="B44">
        <v>0.20923603066253521</v>
      </c>
    </row>
    <row r="45" spans="1:2" x14ac:dyDescent="0.3">
      <c r="A45">
        <v>26</v>
      </c>
      <c r="B45">
        <v>0.20829178089288572</v>
      </c>
    </row>
    <row r="46" spans="1:2" x14ac:dyDescent="0.3">
      <c r="A46">
        <v>27</v>
      </c>
      <c r="B46">
        <v>0.20732593891918255</v>
      </c>
    </row>
    <row r="47" spans="1:2" x14ac:dyDescent="0.3">
      <c r="A47">
        <v>28</v>
      </c>
      <c r="B47">
        <v>0.2063380678535309</v>
      </c>
    </row>
    <row r="48" spans="1:2" x14ac:dyDescent="0.3">
      <c r="A48">
        <v>29</v>
      </c>
      <c r="B48">
        <v>0.20532772489596893</v>
      </c>
    </row>
    <row r="49" spans="1:2" x14ac:dyDescent="0.3">
      <c r="A49">
        <v>30</v>
      </c>
      <c r="B49">
        <v>0.20429446142807287</v>
      </c>
    </row>
    <row r="50" spans="1:2" x14ac:dyDescent="0.3">
      <c r="A50">
        <v>31</v>
      </c>
      <c r="B50">
        <v>0.20323782312151348</v>
      </c>
    </row>
    <row r="51" spans="1:2" x14ac:dyDescent="0.3">
      <c r="A51">
        <v>32</v>
      </c>
      <c r="B51">
        <v>0.20215735006277777</v>
      </c>
    </row>
    <row r="52" spans="1:2" x14ac:dyDescent="0.3">
      <c r="A52">
        <v>33</v>
      </c>
      <c r="B52">
        <v>0.20105257689537051</v>
      </c>
    </row>
    <row r="53" spans="1:2" x14ac:dyDescent="0.3">
      <c r="A53">
        <v>34</v>
      </c>
      <c r="B53">
        <v>0.19992303298092895</v>
      </c>
    </row>
    <row r="54" spans="1:2" x14ac:dyDescent="0.3">
      <c r="A54">
        <v>35</v>
      </c>
      <c r="B54">
        <v>0.19876824258081147</v>
      </c>
    </row>
    <row r="55" spans="1:2" x14ac:dyDescent="0.3">
      <c r="A55">
        <v>36</v>
      </c>
      <c r="B55">
        <v>0.19758772505986272</v>
      </c>
    </row>
    <row r="56" spans="1:2" x14ac:dyDescent="0.3">
      <c r="A56">
        <v>37</v>
      </c>
      <c r="B56">
        <v>0.19638099511421203</v>
      </c>
    </row>
    <row r="57" spans="1:2" x14ac:dyDescent="0.3">
      <c r="A57">
        <v>38</v>
      </c>
      <c r="B57">
        <v>0.1951475630251335</v>
      </c>
    </row>
    <row r="58" spans="1:2" x14ac:dyDescent="0.3">
      <c r="A58">
        <v>39</v>
      </c>
      <c r="B58">
        <v>0.19388693494118797</v>
      </c>
    </row>
    <row r="59" spans="1:2" x14ac:dyDescent="0.3">
      <c r="A59">
        <v>40</v>
      </c>
      <c r="B59">
        <v>0.19259861319106872</v>
      </c>
    </row>
    <row r="60" spans="1:2" x14ac:dyDescent="0.3">
      <c r="A60">
        <v>41</v>
      </c>
      <c r="B60">
        <v>0.19128209662981019</v>
      </c>
    </row>
    <row r="61" spans="1:2" x14ac:dyDescent="0.3">
      <c r="A61">
        <v>42</v>
      </c>
      <c r="B61">
        <v>0.18993688102126383</v>
      </c>
    </row>
    <row r="62" spans="1:2" x14ac:dyDescent="0.3">
      <c r="A62">
        <v>43</v>
      </c>
      <c r="B62">
        <v>0.18856245946003053</v>
      </c>
    </row>
    <row r="63" spans="1:2" x14ac:dyDescent="0.3">
      <c r="A63">
        <v>44</v>
      </c>
      <c r="B63">
        <v>0.18715832283633849</v>
      </c>
    </row>
    <row r="64" spans="1:2" x14ac:dyDescent="0.3">
      <c r="A64">
        <v>45</v>
      </c>
      <c r="B64">
        <v>0.18572396034769897</v>
      </c>
    </row>
    <row r="65" spans="1:2" x14ac:dyDescent="0.3">
      <c r="A65">
        <v>46</v>
      </c>
      <c r="B65">
        <v>0.18425886006153583</v>
      </c>
    </row>
    <row r="66" spans="1:2" x14ac:dyDescent="0.3">
      <c r="A66">
        <v>47</v>
      </c>
      <c r="B66">
        <v>0.18276250953339912</v>
      </c>
    </row>
    <row r="67" spans="1:2" x14ac:dyDescent="0.3">
      <c r="A67">
        <v>48</v>
      </c>
      <c r="B67">
        <v>0.18123439648581216</v>
      </c>
    </row>
    <row r="68" spans="1:2" x14ac:dyDescent="0.3">
      <c r="A68">
        <v>49</v>
      </c>
      <c r="B68">
        <v>0.17967400955329613</v>
      </c>
    </row>
    <row r="69" spans="1:2" x14ac:dyDescent="0.3">
      <c r="A69">
        <v>50</v>
      </c>
      <c r="B69">
        <v>0.17808083909965208</v>
      </c>
    </row>
    <row r="70" spans="1:2" x14ac:dyDescent="0.3">
      <c r="A70">
        <v>51</v>
      </c>
      <c r="B70">
        <v>0.17645437811416265</v>
      </c>
    </row>
    <row r="71" spans="1:2" x14ac:dyDescent="0.3">
      <c r="A71">
        <v>52</v>
      </c>
      <c r="B71">
        <v>0.17479412319402121</v>
      </c>
    </row>
    <row r="72" spans="1:2" x14ac:dyDescent="0.3">
      <c r="A72">
        <v>53</v>
      </c>
      <c r="B72">
        <v>0.17309957562099049</v>
      </c>
    </row>
    <row r="73" spans="1:2" x14ac:dyDescent="0.3">
      <c r="A73">
        <v>54</v>
      </c>
      <c r="B73">
        <v>0.17137024254105526</v>
      </c>
    </row>
    <row r="74" spans="1:2" x14ac:dyDescent="0.3">
      <c r="A74">
        <v>55</v>
      </c>
      <c r="B74">
        <v>0.16960563825665401</v>
      </c>
    </row>
    <row r="75" spans="1:2" x14ac:dyDescent="0.3">
      <c r="A75">
        <v>56</v>
      </c>
      <c r="B75">
        <v>0.16780528564197267</v>
      </c>
    </row>
    <row r="76" spans="1:2" x14ac:dyDescent="0.3">
      <c r="A76">
        <v>57</v>
      </c>
      <c r="B76">
        <v>0.16596871769274413</v>
      </c>
    </row>
    <row r="77" spans="1:2" x14ac:dyDescent="0.3">
      <c r="A77">
        <v>58</v>
      </c>
      <c r="B77">
        <v>0.16409547922303611</v>
      </c>
    </row>
    <row r="78" spans="1:2" x14ac:dyDescent="0.3">
      <c r="A78">
        <v>59</v>
      </c>
      <c r="B78">
        <v>0.16218512872262694</v>
      </c>
    </row>
    <row r="79" spans="1:2" x14ac:dyDescent="0.3">
      <c r="A79">
        <v>60</v>
      </c>
      <c r="B79">
        <v>0.16023724038975365</v>
      </c>
    </row>
    <row r="80" spans="1:2" x14ac:dyDescent="0.3">
      <c r="A80">
        <v>61</v>
      </c>
      <c r="B80">
        <v>0.15825140635528792</v>
      </c>
    </row>
    <row r="81" spans="1:2" x14ac:dyDescent="0.3">
      <c r="A81">
        <v>62</v>
      </c>
      <c r="B81">
        <v>0.15622723911572789</v>
      </c>
    </row>
    <row r="82" spans="1:2" x14ac:dyDescent="0.3">
      <c r="A82">
        <v>63</v>
      </c>
      <c r="B82">
        <v>0.15416437419380336</v>
      </c>
    </row>
    <row r="83" spans="1:2" x14ac:dyDescent="0.3">
      <c r="A83">
        <v>64</v>
      </c>
      <c r="B83">
        <v>0.15206247304695666</v>
      </c>
    </row>
    <row r="84" spans="1:2" x14ac:dyDescent="0.3">
      <c r="A84">
        <v>65</v>
      </c>
      <c r="B84">
        <v>0.14992122624547224</v>
      </c>
    </row>
    <row r="85" spans="1:2" x14ac:dyDescent="0.3">
      <c r="A85">
        <v>66</v>
      </c>
      <c r="B85">
        <v>0.14774035694357612</v>
      </c>
    </row>
    <row r="86" spans="1:2" x14ac:dyDescent="0.3">
      <c r="A86">
        <v>67</v>
      </c>
      <c r="B86">
        <v>0.14551962466838142</v>
      </c>
    </row>
    <row r="87" spans="1:2" x14ac:dyDescent="0.3">
      <c r="A87">
        <v>68</v>
      </c>
      <c r="B87">
        <v>0.1432588294530901</v>
      </c>
    </row>
    <row r="88" spans="1:2" x14ac:dyDescent="0.3">
      <c r="A88">
        <v>69</v>
      </c>
      <c r="B88">
        <v>0.1409578163423475</v>
      </c>
    </row>
    <row r="89" spans="1:2" x14ac:dyDescent="0.3">
      <c r="A89">
        <v>70</v>
      </c>
      <c r="B89">
        <v>0.13861648029902152</v>
      </c>
    </row>
    <row r="90" spans="1:2" x14ac:dyDescent="0.3">
      <c r="A90">
        <v>71</v>
      </c>
      <c r="B90">
        <v>0.13623477154290034</v>
      </c>
    </row>
    <row r="91" spans="1:2" x14ac:dyDescent="0.3">
      <c r="A91">
        <v>72</v>
      </c>
      <c r="B91">
        <v>0.13381270135279039</v>
      </c>
    </row>
    <row r="92" spans="1:2" x14ac:dyDescent="0.3">
      <c r="A92">
        <v>73</v>
      </c>
      <c r="B92">
        <v>0.13135034836415896</v>
      </c>
    </row>
    <row r="93" spans="1:2" x14ac:dyDescent="0.3">
      <c r="A93">
        <v>74</v>
      </c>
      <c r="B93">
        <v>0.12884786539470747</v>
      </c>
    </row>
    <row r="94" spans="1:2" x14ac:dyDescent="0.3">
      <c r="A94">
        <v>75</v>
      </c>
      <c r="B94">
        <v>0.12630548682993722</v>
      </c>
    </row>
    <row r="95" spans="1:2" x14ac:dyDescent="0.3">
      <c r="A95">
        <v>76</v>
      </c>
      <c r="B95">
        <v>0.12372353659973462</v>
      </c>
    </row>
    <row r="96" spans="1:2" x14ac:dyDescent="0.3">
      <c r="A96">
        <v>77</v>
      </c>
      <c r="B96">
        <v>0.12110243677507407</v>
      </c>
    </row>
    <row r="97" spans="1:2" x14ac:dyDescent="0.3">
      <c r="A97">
        <v>78</v>
      </c>
      <c r="B97">
        <v>0.11844271681088668</v>
      </c>
    </row>
    <row r="98" spans="1:2" x14ac:dyDescent="0.3">
      <c r="A98">
        <v>79</v>
      </c>
      <c r="B98">
        <v>0.11574502345673782</v>
      </c>
    </row>
    <row r="99" spans="1:2" x14ac:dyDescent="0.3">
      <c r="A99">
        <v>80</v>
      </c>
      <c r="B99">
        <v>0.11301013135088707</v>
      </c>
    </row>
    <row r="100" spans="1:2" x14ac:dyDescent="0.3">
      <c r="A100">
        <v>81</v>
      </c>
      <c r="B100">
        <v>0.11023895430525538</v>
      </c>
    </row>
    <row r="101" spans="1:2" x14ac:dyDescent="0.3">
      <c r="A101">
        <v>82</v>
      </c>
      <c r="B101">
        <v>0.10743255727840968</v>
      </c>
    </row>
    <row r="102" spans="1:2" x14ac:dyDescent="0.3">
      <c r="A102">
        <v>83</v>
      </c>
      <c r="B102">
        <v>0.10459216902048357</v>
      </c>
    </row>
    <row r="103" spans="1:2" x14ac:dyDescent="0.3">
      <c r="A103">
        <v>84</v>
      </c>
      <c r="B103">
        <v>0.10171919535752577</v>
      </c>
    </row>
    <row r="104" spans="1:2" x14ac:dyDescent="0.3">
      <c r="A104">
        <v>85</v>
      </c>
      <c r="B104">
        <v>9.8815233062613084E-2</v>
      </c>
    </row>
    <row r="105" spans="1:2" x14ac:dyDescent="0.3">
      <c r="A105">
        <v>86</v>
      </c>
      <c r="B105">
        <v>9.5882084236663917E-2</v>
      </c>
    </row>
    <row r="106" spans="1:2" x14ac:dyDescent="0.3">
      <c r="A106">
        <v>87</v>
      </c>
      <c r="B106">
        <v>9.2921771092716959E-2</v>
      </c>
    </row>
    <row r="107" spans="1:2" x14ac:dyDescent="0.3">
      <c r="A107">
        <v>88</v>
      </c>
      <c r="B107">
        <v>8.9936551002988641E-2</v>
      </c>
    </row>
    <row r="108" spans="1:2" x14ac:dyDescent="0.3">
      <c r="A108">
        <v>89</v>
      </c>
      <c r="B108">
        <v>8.6928931627818742E-2</v>
      </c>
    </row>
    <row r="109" spans="1:2" x14ac:dyDescent="0.3">
      <c r="A109">
        <v>90</v>
      </c>
      <c r="B109">
        <v>8.390168589929678E-2</v>
      </c>
    </row>
    <row r="110" spans="1:2" x14ac:dyDescent="0.3">
      <c r="A110">
        <v>91</v>
      </c>
      <c r="B110">
        <v>8.0857866579686397E-2</v>
      </c>
    </row>
    <row r="111" spans="1:2" x14ac:dyDescent="0.3">
      <c r="A111">
        <v>92</v>
      </c>
      <c r="B111">
        <v>7.7800820055746553E-2</v>
      </c>
    </row>
    <row r="112" spans="1:2" x14ac:dyDescent="0.3">
      <c r="A112">
        <v>93</v>
      </c>
      <c r="B112">
        <v>7.4734198964973533E-2</v>
      </c>
    </row>
    <row r="113" spans="1:2" x14ac:dyDescent="0.3">
      <c r="A113">
        <v>94</v>
      </c>
      <c r="B113">
        <v>7.1661973179396182E-2</v>
      </c>
    </row>
    <row r="114" spans="1:2" x14ac:dyDescent="0.3">
      <c r="A114">
        <v>95</v>
      </c>
      <c r="B114">
        <v>6.8588438598109591E-2</v>
      </c>
    </row>
    <row r="115" spans="1:2" x14ac:dyDescent="0.3">
      <c r="A115">
        <v>96</v>
      </c>
      <c r="B115">
        <v>6.5518223123196384E-2</v>
      </c>
    </row>
    <row r="116" spans="1:2" x14ac:dyDescent="0.3">
      <c r="A116">
        <v>97</v>
      </c>
      <c r="B116">
        <v>6.2456289117850831E-2</v>
      </c>
    </row>
    <row r="117" spans="1:2" x14ac:dyDescent="0.3">
      <c r="A117">
        <v>98</v>
      </c>
      <c r="B117">
        <v>5.9407931574187084E-2</v>
      </c>
    </row>
    <row r="118" spans="1:2" x14ac:dyDescent="0.3">
      <c r="A118">
        <v>99</v>
      </c>
      <c r="B118">
        <v>5.6378771156293569E-2</v>
      </c>
    </row>
    <row r="119" spans="1:2" x14ac:dyDescent="0.3">
      <c r="A119">
        <v>100</v>
      </c>
      <c r="B119">
        <v>5.3374741237743564E-2</v>
      </c>
    </row>
    <row r="120" spans="1:2" x14ac:dyDescent="0.3">
      <c r="A120">
        <v>101</v>
      </c>
      <c r="B120">
        <v>5.040206802941645E-2</v>
      </c>
    </row>
    <row r="121" spans="1:2" x14ac:dyDescent="0.3">
      <c r="A121">
        <v>102</v>
      </c>
      <c r="B121">
        <v>4.7467242901748655E-2</v>
      </c>
    </row>
    <row r="122" spans="1:2" x14ac:dyDescent="0.3">
      <c r="A122">
        <v>103</v>
      </c>
      <c r="B122">
        <v>4.457698605506534E-2</v>
      </c>
    </row>
    <row r="123" spans="1:2" x14ac:dyDescent="0.3">
      <c r="A123">
        <v>104</v>
      </c>
      <c r="B123">
        <v>4.1738200792689487E-2</v>
      </c>
    </row>
    <row r="124" spans="1:2" x14ac:dyDescent="0.3">
      <c r="A124">
        <v>105</v>
      </c>
      <c r="B124">
        <v>3.8957917814314721E-2</v>
      </c>
    </row>
    <row r="125" spans="1:2" x14ac:dyDescent="0.3">
      <c r="A125">
        <v>106</v>
      </c>
      <c r="B125">
        <v>3.6243229180972648E-2</v>
      </c>
    </row>
    <row r="126" spans="1:2" x14ac:dyDescent="0.3">
      <c r="A126">
        <v>107</v>
      </c>
      <c r="B126">
        <v>3.360121191499528E-2</v>
      </c>
    </row>
    <row r="127" spans="1:2" x14ac:dyDescent="0.3">
      <c r="A127">
        <v>108</v>
      </c>
      <c r="B127">
        <v>3.1038841592244133E-2</v>
      </c>
    </row>
    <row r="128" spans="1:2" x14ac:dyDescent="0.3">
      <c r="A128">
        <v>109</v>
      </c>
      <c r="B128">
        <v>2.856289675779709E-2</v>
      </c>
    </row>
    <row r="129" spans="1:2" x14ac:dyDescent="0.3">
      <c r="A129">
        <v>110</v>
      </c>
      <c r="B129">
        <v>2.6179855541400857E-2</v>
      </c>
    </row>
    <row r="130" spans="1:2" x14ac:dyDescent="0.3">
      <c r="A130">
        <v>111</v>
      </c>
      <c r="B130">
        <v>2.3895786447684596E-2</v>
      </c>
    </row>
    <row r="131" spans="1:2" x14ac:dyDescent="0.3">
      <c r="A131">
        <v>112</v>
      </c>
      <c r="B131">
        <v>2.1716235920694486E-2</v>
      </c>
    </row>
    <row r="132" spans="1:2" x14ac:dyDescent="0.3">
      <c r="A132">
        <v>113</v>
      </c>
      <c r="B132">
        <v>1.9646115894528447E-2</v>
      </c>
    </row>
    <row r="133" spans="1:2" x14ac:dyDescent="0.3">
      <c r="A133">
        <v>114</v>
      </c>
      <c r="B133">
        <v>1.7689595093563378E-2</v>
      </c>
    </row>
    <row r="134" spans="1:2" x14ac:dyDescent="0.3">
      <c r="A134">
        <v>115</v>
      </c>
      <c r="B134">
        <v>1.5849998281114296E-2</v>
      </c>
    </row>
    <row r="135" spans="1:2" x14ac:dyDescent="0.3">
      <c r="A135">
        <v>116</v>
      </c>
      <c r="B135">
        <v>1.4129717914653558E-2</v>
      </c>
    </row>
    <row r="136" spans="1:2" x14ac:dyDescent="0.3">
      <c r="A136">
        <v>117</v>
      </c>
      <c r="B136">
        <v>1.2530142691238946E-2</v>
      </c>
    </row>
    <row r="137" spans="1:2" x14ac:dyDescent="0.3">
      <c r="A137">
        <v>118</v>
      </c>
      <c r="B137">
        <v>1.1051607210045894E-2</v>
      </c>
    </row>
    <row r="138" spans="1:2" x14ac:dyDescent="0.3">
      <c r="A138">
        <v>119</v>
      </c>
      <c r="B138">
        <v>9.69336640871667E-3</v>
      </c>
    </row>
    <row r="139" spans="1:2" x14ac:dyDescent="0.3">
      <c r="A139">
        <v>120</v>
      </c>
      <c r="B139">
        <v>8.4535975407079127E-3</v>
      </c>
    </row>
    <row r="140" spans="1:2" x14ac:dyDescent="0.3">
      <c r="A140">
        <v>121</v>
      </c>
      <c r="B140">
        <v>7.3294312775444535E-3</v>
      </c>
    </row>
    <row r="141" spans="1:2" x14ac:dyDescent="0.3">
      <c r="A141">
        <v>122</v>
      </c>
      <c r="B141">
        <v>6.3170121031812408E-3</v>
      </c>
    </row>
    <row r="142" spans="1:2" x14ac:dyDescent="0.3">
      <c r="A142">
        <v>123</v>
      </c>
      <c r="B142">
        <v>5.4115866113118149E-3</v>
      </c>
    </row>
    <row r="143" spans="1:2" x14ac:dyDescent="0.3">
      <c r="A143">
        <v>124</v>
      </c>
      <c r="B143">
        <v>4.6076167412348748E-3</v>
      </c>
    </row>
    <row r="144" spans="1:2" x14ac:dyDescent="0.3">
      <c r="A144">
        <v>125</v>
      </c>
      <c r="B144">
        <v>3.8989135300445993E-3</v>
      </c>
    </row>
    <row r="145" spans="1:2" x14ac:dyDescent="0.3">
      <c r="A145">
        <v>126</v>
      </c>
      <c r="B145">
        <v>3.27878575455373E-3</v>
      </c>
    </row>
    <row r="146" spans="1:2" x14ac:dyDescent="0.3">
      <c r="A146">
        <v>127</v>
      </c>
      <c r="B146">
        <v>2.7401970039813315E-3</v>
      </c>
    </row>
    <row r="147" spans="1:2" x14ac:dyDescent="0.3">
      <c r="A147">
        <v>128</v>
      </c>
      <c r="B147">
        <v>2.2759243483617122E-3</v>
      </c>
    </row>
    <row r="148" spans="1:2" x14ac:dyDescent="0.3">
      <c r="A148">
        <v>129</v>
      </c>
      <c r="B148">
        <v>1.8787118853763266E-3</v>
      </c>
    </row>
    <row r="149" spans="1:2" x14ac:dyDescent="0.3">
      <c r="A149">
        <v>130</v>
      </c>
      <c r="B149">
        <v>1.5414130443819709E-3</v>
      </c>
    </row>
    <row r="150" spans="1:2" x14ac:dyDescent="0.3">
      <c r="A150">
        <v>131</v>
      </c>
      <c r="B150">
        <v>1.2571165338966437E-3</v>
      </c>
    </row>
    <row r="151" spans="1:2" x14ac:dyDescent="0.3">
      <c r="A151">
        <v>132</v>
      </c>
      <c r="B151">
        <v>1.0192521286953222E-3</v>
      </c>
    </row>
    <row r="152" spans="1:2" x14ac:dyDescent="0.3">
      <c r="A152">
        <v>133</v>
      </c>
      <c r="B152">
        <v>8.2167396924564542E-4</v>
      </c>
    </row>
  </sheetData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ЛР_1_Перебор</vt:lpstr>
      <vt:lpstr>ЛР_2_Советчик</vt:lpstr>
      <vt:lpstr>ЛР_3_4_XOR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dcterms:created xsi:type="dcterms:W3CDTF">2023-10-31T07:19:40Z</dcterms:created>
  <dcterms:modified xsi:type="dcterms:W3CDTF">2023-11-26T17:10:40Z</dcterms:modified>
</cp:coreProperties>
</file>